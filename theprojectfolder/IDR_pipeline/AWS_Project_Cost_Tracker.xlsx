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ost Tracker" sheetId="1" state="visible" r:id="rId3"/>
    <sheet name="Cost Summary" sheetId="2" state="visible" r:id="rId4"/>
    <sheet name="Cost Alert Set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<sst xmlns="http://schemas.openxmlformats.org/spreadsheetml/2006/main" count="110" uniqueCount="103">
  <si>
    <t xml:space="preserve">Date</t>
  </si>
  <si>
    <t xml:space="preserve">AWS Service</t>
  </si>
  <si>
    <t xml:space="preserve">Operation Description</t>
  </si>
  <si>
    <t xml:space="preserve">Units Used</t>
  </si>
  <si>
    <t xml:space="preserve">Unit Cost ($)</t>
  </si>
  <si>
    <t xml:space="preserve">Total Cost ($)</t>
  </si>
  <si>
    <t xml:space="preserve">Notes/Learnings</t>
  </si>
  <si>
    <t xml:space="preserve">S3</t>
  </si>
  <si>
    <t xml:space="preserve">Upload test documents</t>
  </si>
  <si>
    <t xml:space="preserve">Uploaded 10 sample invoices</t>
  </si>
  <si>
    <t xml:space="preserve">Textract</t>
  </si>
  <si>
    <t xml:space="preserve">OCR processing - invoices</t>
  </si>
  <si>
    <t xml:space="preserve">Tested on various invoice formats</t>
  </si>
  <si>
    <t xml:space="preserve">Lambda</t>
  </si>
  <si>
    <t xml:space="preserve">Document processing function</t>
  </si>
  <si>
    <t xml:space="preserve">Testing trigger from S3</t>
  </si>
  <si>
    <t xml:space="preserve">Comprehend</t>
  </si>
  <si>
    <t xml:space="preserve">Entity extraction</t>
  </si>
  <si>
    <t xml:space="preserve">Extracting vendor names, amounts</t>
  </si>
  <si>
    <t xml:space="preserve">TOTAL DEVELOPMENT COST</t>
  </si>
  <si>
    <t xml:space="preserve">AWS Document Processing Pipeline - Cost Summary</t>
  </si>
  <si>
    <t xml:space="preserve">Development Phase Summary</t>
  </si>
  <si>
    <t xml:space="preserve">Category</t>
  </si>
  <si>
    <t xml:space="preserve">Estimated ($)</t>
  </si>
  <si>
    <t xml:space="preserve">Actual ($)</t>
  </si>
  <si>
    <t xml:space="preserve">Variance ($)</t>
  </si>
  <si>
    <t xml:space="preserve">S3 Storage</t>
  </si>
  <si>
    <t xml:space="preserve">Lambda Functions</t>
  </si>
  <si>
    <t xml:space="preserve">API Gateway</t>
  </si>
  <si>
    <t xml:space="preserve">CloudWatch</t>
  </si>
  <si>
    <t xml:space="preserve">Other Services</t>
  </si>
  <si>
    <t xml:space="preserve">TOTAL</t>
  </si>
  <si>
    <t xml:space="preserve">Monthly Production Cost Model (500 documents)</t>
  </si>
  <si>
    <t xml:space="preserve">Service</t>
  </si>
  <si>
    <t xml:space="preserve">Usage</t>
  </si>
  <si>
    <t xml:space="preserve">Unit Cost</t>
  </si>
  <si>
    <t xml:space="preserve">Monthly Cost ($)</t>
  </si>
  <si>
    <t xml:space="preserve">50 GB</t>
  </si>
  <si>
    <t xml:space="preserve">$0.023/GB</t>
  </si>
  <si>
    <t xml:space="preserve">S3 Requests</t>
  </si>
  <si>
    <t xml:space="preserve">3,000 requests</t>
  </si>
  <si>
    <t xml:space="preserve">$0.005/1K PUT</t>
  </si>
  <si>
    <t xml:space="preserve">1,500 invocations</t>
  </si>
  <si>
    <t xml:space="preserve">$0.0000166667/GB-sec</t>
  </si>
  <si>
    <t xml:space="preserve">1,000 pages</t>
  </si>
  <si>
    <t xml:space="preserve">$1.50/1K pages</t>
  </si>
  <si>
    <t xml:space="preserve">100,000 units</t>
  </si>
  <si>
    <t xml:space="preserve">$0.0001/unit</t>
  </si>
  <si>
    <t xml:space="preserve">1,500 requests</t>
  </si>
  <si>
    <t xml:space="preserve">$3.50/million</t>
  </si>
  <si>
    <t xml:space="preserve">CloudWatch Logs</t>
  </si>
  <si>
    <t xml:space="preserve">5 GB</t>
  </si>
  <si>
    <t xml:space="preserve">$0.50/GB</t>
  </si>
  <si>
    <t xml:space="preserve">Data Transfer</t>
  </si>
  <si>
    <t xml:space="preserve">10 GB out</t>
  </si>
  <si>
    <t xml:space="preserve">$0.09/GB</t>
  </si>
  <si>
    <t xml:space="preserve">MONTHLY TOTAL</t>
  </si>
  <si>
    <t xml:space="preserve">ANNUAL COST</t>
  </si>
  <si>
    <t xml:space="preserve">ROI Analysis</t>
  </si>
  <si>
    <t xml:space="preserve">Manual Process</t>
  </si>
  <si>
    <t xml:space="preserve">Automated Process</t>
  </si>
  <si>
    <t xml:space="preserve">Monthly staff time (hours)</t>
  </si>
  <si>
    <t xml:space="preserve">Hourly rate</t>
  </si>
  <si>
    <t xml:space="preserve">Monthly labor cost</t>
  </si>
  <si>
    <t xml:space="preserve">Monthly AWS cost</t>
  </si>
  <si>
    <t xml:space="preserve">TOTAL MONTHLY COST</t>
  </si>
  <si>
    <t xml:space="preserve">Monthly Savings</t>
  </si>
  <si>
    <t xml:space="preserve">Annual Savings</t>
  </si>
  <si>
    <t xml:space="preserve">ROI %</t>
  </si>
  <si>
    <t xml:space="preserve">AWS Cost Explorer &amp; Budget Alert Setup Guide</t>
  </si>
  <si>
    <t xml:space="preserve">Step 1: Enable Cost Explorer</t>
  </si>
  <si>
    <t xml:space="preserve">1. Log into AWS Console</t>
  </si>
  <si>
    <t xml:space="preserve">2. Navigate to: Billing Dashboard &gt; Cost Explorer</t>
  </si>
  <si>
    <t xml:space="preserve">3. Click 'Enable Cost Explorer'</t>
  </si>
  <si>
    <t xml:space="preserve">4. Wait 24 hours for data population</t>
  </si>
  <si>
    <t xml:space="preserve">Step 2: Create Budget Alert</t>
  </si>
  <si>
    <t xml:space="preserve">1. Go to: Billing Dashboard &gt; Budgets</t>
  </si>
  <si>
    <t xml:space="preserve">2. Click 'Create budget'</t>
  </si>
  <si>
    <t xml:space="preserve">3. Select 'Monthly cost budget'</t>
  </si>
  <si>
    <t xml:space="preserve">4. Set budget amount: $25.00 (recommended)</t>
  </si>
  <si>
    <t xml:space="preserve">5. Set alert threshold: 80% ($20.00)</t>
  </si>
  <si>
    <t xml:space="preserve">6. Enter your email for notifications</t>
  </si>
  <si>
    <t xml:space="preserve">Step 3: Daily Cost Tracking</t>
  </si>
  <si>
    <t xml:space="preserve">1. Check Cost Explorer daily during development</t>
  </si>
  <si>
    <t xml:space="preserve">2. Filter by service to see breakdown</t>
  </si>
  <si>
    <t xml:space="preserve">3. Record costs in 'Daily Cost Tracker' sheet</t>
  </si>
  <si>
    <t xml:space="preserve">4. Take screenshots for portfolio documentation</t>
  </si>
  <si>
    <t xml:space="preserve">Recommended Alert Thresholds:</t>
  </si>
  <si>
    <t xml:space="preserve">• 50% of budget: Warning email</t>
  </si>
  <si>
    <t xml:space="preserve">Helps catch runaway costs early</t>
  </si>
  <si>
    <t xml:space="preserve">• 80% of budget: Alert email</t>
  </si>
  <si>
    <t xml:space="preserve">Time to review usage</t>
  </si>
  <si>
    <t xml:space="preserve">• 100% of budget: Critical alert</t>
  </si>
  <si>
    <t xml:space="preserve">Stop non-essential testing</t>
  </si>
  <si>
    <t xml:space="preserve">Free Tier Limits to Monitor:</t>
  </si>
  <si>
    <t xml:space="preserve">• Lambda: 1M requests/month</t>
  </si>
  <si>
    <t xml:space="preserve">Track in Cost Explorer</t>
  </si>
  <si>
    <t xml:space="preserve">• Textract: 1,000 pages/month (3 months)</t>
  </si>
  <si>
    <t xml:space="preserve">Keep count in tracker</t>
  </si>
  <si>
    <t xml:space="preserve">• Comprehend: 50K units/month (12 months)</t>
  </si>
  <si>
    <t xml:space="preserve">Monitor usage closely</t>
  </si>
  <si>
    <t xml:space="preserve">• S3: 5GB storage, 20K GET, 2K PUT</t>
  </si>
  <si>
    <t xml:space="preserve">Check S3 metrics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</si>
</sst>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00"/>
    <numFmt numFmtId="167" formatCode="\$#,##0.00"/>
    <numFmt numFmtId="168" formatCode="General"/>
    <numFmt numFmtId="169" formatCode="0.0%"/>
    <numFmt numFmtId="170" formatCode="[$$-409]#,##0.00;[RED]\-[$$-409]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70C0"/>
      <name val="Cambria"/>
      <family val="0"/>
      <charset val="1"/>
    </font>
    <font>
      <b val="true"/>
      <sz val="14"/>
      <color rgb="FF0070C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1"/>
      <color rgb="FFC65911"/>
      <name val="Cambria"/>
      <family val="0"/>
      <charset val="1"/>
    </font>
    <font>
      <b val="true"/>
      <sz val="11"/>
      <color rgb="FF0070C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E2F0D9"/>
      </patternFill>
    </fill>
    <fill>
      <patternFill patternType="solid">
        <fgColor rgb="FFC6E0B4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2EFDA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E2EFDA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C65911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6" min="4" style="1" width="12"/>
    <col collapsed="false" customWidth="true" hidden="false" outlineLevel="0" max="7" min="7" style="1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45664</v>
      </c>
      <c r="B2" s="1" t="s">
        <v>7</v>
      </c>
      <c r="C2" s="1" t="s">
        <v>8</v>
      </c>
      <c r="D2" s="1" t="n">
        <v>10</v>
      </c>
      <c r="E2" s="4" t="n">
        <v>0.005</v>
      </c>
      <c r="F2" s="5" t="n">
        <f aca="false">D2*E2</f>
        <v>0.05</v>
      </c>
      <c r="G2" s="1" t="s">
        <v>9</v>
      </c>
    </row>
    <row r="3" customFormat="false" ht="15" hidden="false" customHeight="true" outlineLevel="0" collapsed="false">
      <c r="A3" s="3" t="n">
        <v>45664</v>
      </c>
      <c r="B3" s="1" t="s">
        <v>10</v>
      </c>
      <c r="C3" s="1" t="s">
        <v>11</v>
      </c>
      <c r="D3" s="1" t="n">
        <v>15</v>
      </c>
      <c r="E3" s="4" t="n">
        <v>0.15</v>
      </c>
      <c r="F3" s="5" t="n">
        <f aca="false">D3*E3</f>
        <v>2.25</v>
      </c>
      <c r="G3" s="1" t="s">
        <v>12</v>
      </c>
    </row>
    <row r="4" customFormat="false" ht="15" hidden="false" customHeight="true" outlineLevel="0" collapsed="false">
      <c r="A4" s="3" t="n">
        <v>45665</v>
      </c>
      <c r="B4" s="1" t="s">
        <v>13</v>
      </c>
      <c r="C4" s="1" t="s">
        <v>14</v>
      </c>
      <c r="D4" s="1" t="n">
        <v>50</v>
      </c>
      <c r="E4" s="4" t="n">
        <v>2E-007</v>
      </c>
      <c r="F4" s="5" t="n">
        <f aca="false">D4*E4</f>
        <v>1E-005</v>
      </c>
      <c r="G4" s="1" t="s">
        <v>15</v>
      </c>
    </row>
    <row r="5" customFormat="false" ht="15" hidden="false" customHeight="true" outlineLevel="0" collapsed="false">
      <c r="A5" s="3" t="n">
        <v>45665</v>
      </c>
      <c r="B5" s="1" t="s">
        <v>16</v>
      </c>
      <c r="C5" s="1" t="s">
        <v>17</v>
      </c>
      <c r="D5" s="1" t="n">
        <v>25</v>
      </c>
      <c r="E5" s="4" t="n">
        <v>0.0001</v>
      </c>
      <c r="F5" s="5" t="n">
        <f aca="false">D5*E5</f>
        <v>0.0025</v>
      </c>
      <c r="G5" s="1" t="s">
        <v>18</v>
      </c>
    </row>
    <row r="6" customFormat="false" ht="15" hidden="false" customHeight="true" outlineLevel="0" collapsed="false">
      <c r="E6" s="4"/>
      <c r="F6" s="5"/>
    </row>
    <row r="7" customFormat="false" ht="15" hidden="false" customHeight="true" outlineLevel="0" collapsed="false">
      <c r="A7" s="6" t="s">
        <v>19</v>
      </c>
      <c r="E7" s="4"/>
      <c r="F7" s="7" t="n">
        <f aca="false">SUM(F2:F5)</f>
        <v>2.30251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8" t="s">
        <v>20</v>
      </c>
      <c r="B1" s="8"/>
      <c r="C1" s="8"/>
      <c r="D1" s="8"/>
    </row>
    <row r="3" customFormat="false" ht="15" hidden="false" customHeight="true" outlineLevel="0" collapsed="false">
      <c r="A3" s="6" t="s">
        <v>21</v>
      </c>
    </row>
    <row r="5" customFormat="false" ht="15" hidden="false" customHeight="true" outlineLevel="0" collapsed="false">
      <c r="A5" s="9" t="s">
        <v>22</v>
      </c>
      <c r="B5" s="9" t="s">
        <v>23</v>
      </c>
      <c r="C5" s="9" t="s">
        <v>24</v>
      </c>
      <c r="D5" s="9" t="s">
        <v>25</v>
      </c>
    </row>
    <row r="6" customFormat="false" ht="15" hidden="false" customHeight="true" outlineLevel="0" collapsed="false">
      <c r="A6" s="1" t="s">
        <v>26</v>
      </c>
      <c r="B6" s="5" t="n">
        <v>0.5</v>
      </c>
      <c r="C6" s="5" t="n">
        <f aca="false">SUMIF('Daily Cost Tracker'!B:B,"S3",'Daily Cost Tracker'!F:F)</f>
        <v>0.05</v>
      </c>
      <c r="D6" s="5" t="n">
        <f aca="false">C6-B6</f>
        <v>-0.45</v>
      </c>
    </row>
    <row r="7" customFormat="false" ht="15" hidden="false" customHeight="true" outlineLevel="0" collapsed="false">
      <c r="A7" s="1" t="s">
        <v>27</v>
      </c>
      <c r="B7" s="5" t="n">
        <v>2</v>
      </c>
      <c r="C7" s="5" t="n">
        <f aca="false">SUMIF('Daily Cost Tracker'!B:B,"Lambda",'Daily Cost Tracker'!F:F)</f>
        <v>1E-005</v>
      </c>
      <c r="D7" s="5" t="n">
        <f aca="false">C7-B7</f>
        <v>-1.99999</v>
      </c>
    </row>
    <row r="8" customFormat="false" ht="15" hidden="false" customHeight="true" outlineLevel="0" collapsed="false">
      <c r="A8" s="1" t="s">
        <v>10</v>
      </c>
      <c r="B8" s="5" t="n">
        <v>7.5</v>
      </c>
      <c r="C8" s="5" t="n">
        <f aca="false">SUMIF('Daily Cost Tracker'!B:B,"Textract",'Daily Cost Tracker'!F:F)</f>
        <v>2.25</v>
      </c>
      <c r="D8" s="5" t="n">
        <f aca="false">C8-B8</f>
        <v>-5.25</v>
      </c>
    </row>
    <row r="9" customFormat="false" ht="15" hidden="false" customHeight="true" outlineLevel="0" collapsed="false">
      <c r="A9" s="1" t="s">
        <v>16</v>
      </c>
      <c r="B9" s="5" t="n">
        <v>0.5</v>
      </c>
      <c r="C9" s="5" t="n">
        <f aca="false">SUMIF('Daily Cost Tracker'!B:B,"Comprehend",'Daily Cost Tracker'!F:F)</f>
        <v>0.0025</v>
      </c>
      <c r="D9" s="5" t="n">
        <f aca="false">C9-B9</f>
        <v>-0.4975</v>
      </c>
    </row>
    <row r="10" customFormat="false" ht="15" hidden="false" customHeight="true" outlineLevel="0" collapsed="false">
      <c r="A10" s="1" t="s">
        <v>28</v>
      </c>
      <c r="B10" s="5" t="n">
        <v>0.1</v>
      </c>
      <c r="C10" s="5" t="n">
        <f aca="false">SUMIF('Daily Cost Tracker'!B:B,"API Gateway",'Daily Cost Tracker'!F:F)</f>
        <v>0</v>
      </c>
      <c r="D10" s="5" t="n">
        <f aca="false">C10-B10</f>
        <v>-0.1</v>
      </c>
    </row>
    <row r="11" customFormat="false" ht="15" hidden="false" customHeight="true" outlineLevel="0" collapsed="false">
      <c r="A11" s="1" t="s">
        <v>29</v>
      </c>
      <c r="B11" s="5" t="n">
        <v>0.5</v>
      </c>
      <c r="C11" s="5" t="n">
        <f aca="false">SUMIF('Daily Cost Tracker'!B:B,"CloudWatch",'Daily Cost Tracker'!F:F)</f>
        <v>0</v>
      </c>
      <c r="D11" s="5" t="n">
        <f aca="false">C11-B11</f>
        <v>-0.5</v>
      </c>
    </row>
    <row r="12" customFormat="false" ht="15" hidden="false" customHeight="true" outlineLevel="0" collapsed="false">
      <c r="A12" s="1" t="s">
        <v>30</v>
      </c>
      <c r="B12" s="5" t="n">
        <v>0</v>
      </c>
      <c r="C12" s="5" t="n">
        <f aca="false">SUMIF('Daily Cost Tracker'!B:B,"Other",'Daily Cost Tracker'!F:F)</f>
        <v>0</v>
      </c>
      <c r="D12" s="5" t="n">
        <f aca="false">C12-B12</f>
        <v>0</v>
      </c>
    </row>
    <row r="13" customFormat="false" ht="15" hidden="false" customHeight="true" outlineLevel="0" collapsed="false">
      <c r="A13" s="6" t="s">
        <v>31</v>
      </c>
      <c r="B13" s="10" t="n">
        <f aca="false">SUM(B6:B12)</f>
        <v>11.1</v>
      </c>
      <c r="C13" s="10" t="n">
        <f aca="false">SUM(C6:C12)</f>
        <v>2.30251</v>
      </c>
      <c r="D13" s="10" t="n">
        <f aca="false">C13-B13</f>
        <v>-8.79749</v>
      </c>
    </row>
    <row r="16" customFormat="false" ht="15" hidden="false" customHeight="true" outlineLevel="0" collapsed="false">
      <c r="A16" s="6" t="s">
        <v>32</v>
      </c>
    </row>
    <row r="18" customFormat="false" ht="15" hidden="false" customHeight="true" outlineLevel="0" collapsed="false">
      <c r="A18" s="11" t="s">
        <v>33</v>
      </c>
      <c r="B18" s="11" t="s">
        <v>34</v>
      </c>
      <c r="C18" s="11" t="s">
        <v>35</v>
      </c>
      <c r="D18" s="11" t="s">
        <v>36</v>
      </c>
    </row>
    <row r="19" customFormat="false" ht="15" hidden="false" customHeight="true" outlineLevel="0" collapsed="false">
      <c r="A19" s="1" t="s">
        <v>26</v>
      </c>
      <c r="B19" s="1" t="s">
        <v>37</v>
      </c>
      <c r="C19" s="1" t="s">
        <v>38</v>
      </c>
      <c r="D19" s="1" t="n">
        <v>1.15</v>
      </c>
    </row>
    <row r="20" customFormat="false" ht="15" hidden="false" customHeight="true" outlineLevel="0" collapsed="false">
      <c r="A20" s="1" t="s">
        <v>39</v>
      </c>
      <c r="B20" s="1" t="s">
        <v>40</v>
      </c>
      <c r="C20" s="1" t="s">
        <v>41</v>
      </c>
      <c r="D20" s="1" t="n">
        <v>0.01</v>
      </c>
    </row>
    <row r="21" customFormat="false" ht="15" hidden="false" customHeight="true" outlineLevel="0" collapsed="false">
      <c r="A21" s="1" t="s">
        <v>13</v>
      </c>
      <c r="B21" s="1" t="s">
        <v>42</v>
      </c>
      <c r="C21" s="1" t="s">
        <v>43</v>
      </c>
      <c r="D21" s="1" t="n">
        <v>1.25</v>
      </c>
    </row>
    <row r="22" customFormat="false" ht="15" hidden="false" customHeight="true" outlineLevel="0" collapsed="false">
      <c r="A22" s="1" t="s">
        <v>10</v>
      </c>
      <c r="B22" s="1" t="s">
        <v>44</v>
      </c>
      <c r="C22" s="1" t="s">
        <v>45</v>
      </c>
      <c r="D22" s="1" t="n">
        <v>1.5</v>
      </c>
    </row>
    <row r="23" customFormat="false" ht="15" hidden="false" customHeight="true" outlineLevel="0" collapsed="false">
      <c r="A23" s="1" t="s">
        <v>16</v>
      </c>
      <c r="B23" s="1" t="s">
        <v>46</v>
      </c>
      <c r="C23" s="1" t="s">
        <v>47</v>
      </c>
      <c r="D23" s="1" t="n">
        <v>10</v>
      </c>
    </row>
    <row r="24" customFormat="false" ht="15" hidden="false" customHeight="true" outlineLevel="0" collapsed="false">
      <c r="A24" s="1" t="s">
        <v>28</v>
      </c>
      <c r="B24" s="1" t="s">
        <v>48</v>
      </c>
      <c r="C24" s="1" t="s">
        <v>49</v>
      </c>
      <c r="D24" s="1" t="n">
        <v>0.01</v>
      </c>
    </row>
    <row r="25" customFormat="false" ht="15" hidden="false" customHeight="true" outlineLevel="0" collapsed="false">
      <c r="A25" s="1" t="s">
        <v>50</v>
      </c>
      <c r="B25" s="1" t="s">
        <v>51</v>
      </c>
      <c r="C25" s="1" t="s">
        <v>52</v>
      </c>
      <c r="D25" s="1" t="n">
        <v>2</v>
      </c>
    </row>
    <row r="26" customFormat="false" ht="15" hidden="false" customHeight="true" outlineLevel="0" collapsed="false">
      <c r="A26" s="1" t="s">
        <v>53</v>
      </c>
      <c r="B26" s="1" t="s">
        <v>54</v>
      </c>
      <c r="C26" s="1" t="s">
        <v>55</v>
      </c>
      <c r="D26" s="1" t="n">
        <v>0.9</v>
      </c>
    </row>
    <row r="27" customFormat="false" ht="15" hidden="false" customHeight="true" outlineLevel="0" collapsed="false">
      <c r="A27" s="12" t="s">
        <v>56</v>
      </c>
      <c r="D27" s="13" t="n">
        <f aca="false">SUM(D19:D26)</f>
        <v>16.82</v>
      </c>
    </row>
    <row r="28" customFormat="false" ht="15" hidden="false" customHeight="true" outlineLevel="0" collapsed="false">
      <c r="A28" s="12" t="s">
        <v>57</v>
      </c>
      <c r="D28" s="14" t="n">
        <f aca="false">D27*12</f>
        <v>201.84</v>
      </c>
    </row>
    <row r="31" customFormat="false" ht="15" hidden="false" customHeight="true" outlineLevel="0" collapsed="false">
      <c r="A31" s="15" t="s">
        <v>58</v>
      </c>
    </row>
    <row r="32" customFormat="false" ht="15" hidden="false" customHeight="true" outlineLevel="0" collapsed="false">
      <c r="B32" s="16"/>
      <c r="C32" s="17"/>
    </row>
    <row r="33" customFormat="false" ht="15" hidden="false" customHeight="true" outlineLevel="0" collapsed="false">
      <c r="B33" s="1" t="s">
        <v>59</v>
      </c>
      <c r="C33" s="1" t="s">
        <v>60</v>
      </c>
    </row>
    <row r="34" customFormat="false" ht="15" hidden="false" customHeight="true" outlineLevel="0" collapsed="false">
      <c r="A34" s="1" t="s">
        <v>61</v>
      </c>
      <c r="B34" s="1" t="n">
        <v>25</v>
      </c>
      <c r="C34" s="1" t="n">
        <v>4.2</v>
      </c>
    </row>
    <row r="35" customFormat="false" ht="15" hidden="false" customHeight="true" outlineLevel="0" collapsed="false">
      <c r="A35" s="1" t="s">
        <v>62</v>
      </c>
      <c r="B35" s="1" t="n">
        <v>25</v>
      </c>
      <c r="C35" s="1" t="n">
        <v>25</v>
      </c>
    </row>
    <row r="36" customFormat="false" ht="15" hidden="false" customHeight="true" outlineLevel="0" collapsed="false">
      <c r="A36" s="1" t="s">
        <v>63</v>
      </c>
      <c r="B36" s="5" t="n">
        <v>0</v>
      </c>
      <c r="C36" s="5" t="n">
        <f aca="false">D27</f>
        <v>16.82</v>
      </c>
    </row>
    <row r="37" customFormat="false" ht="15" hidden="false" customHeight="true" outlineLevel="0" collapsed="false">
      <c r="A37" s="1" t="s">
        <v>64</v>
      </c>
      <c r="B37" s="1" t="n">
        <v>0</v>
      </c>
      <c r="C37" s="5" t="n">
        <f aca="false">D27</f>
        <v>16.82</v>
      </c>
    </row>
    <row r="38" customFormat="false" ht="15" hidden="false" customHeight="true" outlineLevel="0" collapsed="false">
      <c r="A38" s="1" t="s">
        <v>65</v>
      </c>
      <c r="B38" s="5" t="n">
        <f aca="false">B35</f>
        <v>25</v>
      </c>
      <c r="C38" s="5" t="n">
        <f aca="false">C35+C36</f>
        <v>41.82</v>
      </c>
    </row>
    <row r="39" customFormat="false" ht="15" hidden="false" customHeight="true" outlineLevel="0" collapsed="false">
      <c r="C39" s="18"/>
    </row>
    <row r="40" customFormat="false" ht="15" hidden="false" customHeight="true" outlineLevel="0" collapsed="false">
      <c r="A40" s="1" t="s">
        <v>66</v>
      </c>
      <c r="C40" s="19" t="n">
        <f aca="false">B37-C37</f>
        <v>-16.82</v>
      </c>
    </row>
    <row r="41" customFormat="false" ht="15" hidden="false" customHeight="true" outlineLevel="0" collapsed="false">
      <c r="A41" s="1" t="s">
        <v>67</v>
      </c>
      <c r="C41" s="20" t="n">
        <f aca="false">C39*12</f>
        <v>0</v>
      </c>
    </row>
    <row r="42" customFormat="false" ht="15" hidden="false" customHeight="true" outlineLevel="0" collapsed="false">
      <c r="A42" s="1" t="s">
        <v>68</v>
      </c>
      <c r="C42" s="21" t="n">
        <f aca="false">(C40/D27)/12*100</f>
        <v>-8.33333333333333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5"/>
  </cols>
  <sheetData>
    <row r="1" customFormat="false" ht="17.25" hidden="false" customHeight="true" outlineLevel="0" collapsed="false">
      <c r="A1" s="22" t="s">
        <v>69</v>
      </c>
      <c r="B1" s="22"/>
    </row>
    <row r="3" customFormat="false" ht="15" hidden="false" customHeight="true" outlineLevel="0" collapsed="false">
      <c r="A3" s="23" t="s">
        <v>70</v>
      </c>
    </row>
    <row r="4" customFormat="false" ht="15" hidden="false" customHeight="true" outlineLevel="0" collapsed="false">
      <c r="A4" s="1" t="s">
        <v>71</v>
      </c>
    </row>
    <row r="5" customFormat="false" ht="15" hidden="false" customHeight="true" outlineLevel="0" collapsed="false">
      <c r="A5" s="1" t="s">
        <v>72</v>
      </c>
    </row>
    <row r="6" customFormat="false" ht="15" hidden="false" customHeight="true" outlineLevel="0" collapsed="false">
      <c r="A6" s="1" t="s">
        <v>73</v>
      </c>
    </row>
    <row r="7" customFormat="false" ht="15" hidden="false" customHeight="true" outlineLevel="0" collapsed="false">
      <c r="A7" s="1" t="s">
        <v>74</v>
      </c>
    </row>
    <row r="9" customFormat="false" ht="15" hidden="false" customHeight="true" outlineLevel="0" collapsed="false">
      <c r="A9" s="23" t="s">
        <v>75</v>
      </c>
    </row>
    <row r="10" customFormat="false" ht="15" hidden="false" customHeight="true" outlineLevel="0" collapsed="false">
      <c r="A10" s="1" t="s">
        <v>76</v>
      </c>
    </row>
    <row r="11" customFormat="false" ht="15" hidden="false" customHeight="true" outlineLevel="0" collapsed="false">
      <c r="A11" s="1" t="s">
        <v>77</v>
      </c>
    </row>
    <row r="12" customFormat="false" ht="15" hidden="false" customHeight="true" outlineLevel="0" collapsed="false">
      <c r="A12" s="1" t="s">
        <v>78</v>
      </c>
    </row>
    <row r="13" customFormat="false" ht="15" hidden="false" customHeight="true" outlineLevel="0" collapsed="false">
      <c r="A13" s="1" t="s">
        <v>79</v>
      </c>
    </row>
    <row r="14" customFormat="false" ht="15" hidden="false" customHeight="true" outlineLevel="0" collapsed="false">
      <c r="A14" s="1" t="s">
        <v>80</v>
      </c>
    </row>
    <row r="15" customFormat="false" ht="15" hidden="false" customHeight="true" outlineLevel="0" collapsed="false">
      <c r="A15" s="1" t="s">
        <v>81</v>
      </c>
    </row>
    <row r="17" customFormat="false" ht="15" hidden="false" customHeight="true" outlineLevel="0" collapsed="false">
      <c r="A17" s="23" t="s">
        <v>82</v>
      </c>
    </row>
    <row r="18" customFormat="false" ht="15" hidden="false" customHeight="true" outlineLevel="0" collapsed="false">
      <c r="A18" s="1" t="s">
        <v>83</v>
      </c>
    </row>
    <row r="19" customFormat="false" ht="15" hidden="false" customHeight="true" outlineLevel="0" collapsed="false">
      <c r="A19" s="1" t="s">
        <v>84</v>
      </c>
    </row>
    <row r="20" customFormat="false" ht="15" hidden="false" customHeight="true" outlineLevel="0" collapsed="false">
      <c r="A20" s="1" t="s">
        <v>85</v>
      </c>
    </row>
    <row r="21" customFormat="false" ht="15" hidden="false" customHeight="true" outlineLevel="0" collapsed="false">
      <c r="A21" s="1" t="s">
        <v>86</v>
      </c>
    </row>
    <row r="23" customFormat="false" ht="15" hidden="false" customHeight="true" outlineLevel="0" collapsed="false">
      <c r="A23" s="1" t="s">
        <v>87</v>
      </c>
    </row>
    <row r="24" customFormat="false" ht="15" hidden="false" customHeight="true" outlineLevel="0" collapsed="false">
      <c r="A24" s="1" t="s">
        <v>88</v>
      </c>
      <c r="B24" s="1" t="s">
        <v>89</v>
      </c>
    </row>
    <row r="25" customFormat="false" ht="15" hidden="false" customHeight="true" outlineLevel="0" collapsed="false">
      <c r="A25" s="24" t="s">
        <v>90</v>
      </c>
      <c r="B25" s="1" t="s">
        <v>91</v>
      </c>
    </row>
    <row r="26" customFormat="false" ht="15" hidden="false" customHeight="true" outlineLevel="0" collapsed="false">
      <c r="A26" s="1" t="s">
        <v>92</v>
      </c>
      <c r="B26" s="1" t="s">
        <v>93</v>
      </c>
    </row>
    <row r="28" customFormat="false" ht="15" hidden="false" customHeight="true" outlineLevel="0" collapsed="false">
      <c r="A28" s="1" t="s">
        <v>94</v>
      </c>
    </row>
    <row r="29" customFormat="false" ht="15" hidden="false" customHeight="true" outlineLevel="0" collapsed="false">
      <c r="A29" s="1" t="s">
        <v>95</v>
      </c>
      <c r="B29" s="1" t="s">
        <v>96</v>
      </c>
    </row>
    <row r="30" customFormat="false" ht="15" hidden="false" customHeight="true" outlineLevel="0" collapsed="false">
      <c r="A30" s="1" t="s">
        <v>97</v>
      </c>
      <c r="B30" s="1" t="s">
        <v>98</v>
      </c>
    </row>
    <row r="31" customFormat="false" ht="15" hidden="false" customHeight="true" outlineLevel="0" collapsed="false">
      <c r="A31" s="24" t="s">
        <v>99</v>
      </c>
      <c r="B31" s="1" t="s">
        <v>100</v>
      </c>
    </row>
    <row r="32" customFormat="false" ht="15" hidden="false" customHeight="true" outlineLevel="0" collapsed="false">
      <c r="A32" s="1" t="s">
        <v>101</v>
      </c>
      <c r="B32" s="1" t="s">
        <v>102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2026-01-07T11:29:28Z</dcterms:created>
  <dc:creator>openpyxl</dc:creator>
  <dc:description/>
  <dc:language>en-US</dc:language>
  <cp:lastModifiedBy/>
  <dcterms:modified xsi:type="dcterms:W3CDTF">2026-01-07T11:29:52Z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